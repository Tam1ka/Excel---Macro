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xl/charts/style6.xml" ContentType="application/vnd.ms-office.chartstyle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xl/timelineCaches/timelineCache1.xml" ContentType="application/vnd.ms-excel.timelineCache+xml"/>
  <Override PartName="/xl/charts/style4.xml" ContentType="application/vnd.ms-office.chartstyle+xml"/>
  <Override PartName="/xl/charts/style5.xml" ContentType="application/vnd.ms-office.chartsty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charts/colors6.xml" ContentType="application/vnd.ms-office.chartcolorstyle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timelines/timeline1.xml" ContentType="application/vnd.ms-excel.timeline+xml"/>
  <Override PartName="/xl/timelines/timeline2.xml" ContentType="application/vnd.ms-excel.timeline+xml"/>
  <Override PartName="/xl/charts/colors4.xml" ContentType="application/vnd.ms-office.chartcolorstyle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trlProps/ctrlProp3.xml" ContentType="application/vnd.ms-excel.controlpropertie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slicers/slicer1.xml" ContentType="application/vnd.ms-excel.slicer+xml"/>
  <Override PartName="/xl/charts/colors1.xml" ContentType="application/vnd.ms-office.chartcolorsty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customXml/itemProps2.xml" ContentType="application/vnd.openxmlformats-officedocument.customXmlProperties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slicerCaches/slicerCache1.xml" ContentType="application/vnd.ms-excel.slicerCach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/>
  <bookViews>
    <workbookView xWindow="-120" yWindow="-120" windowWidth="20730" windowHeight="11760" activeTab="4"/>
  </bookViews>
  <sheets>
    <sheet name="Dashboard" sheetId="15" r:id="rId1"/>
    <sheet name="Indicadores Base" sheetId="16" state="hidden" r:id="rId2"/>
    <sheet name="Tabelas Dinamicas" sheetId="5" r:id="rId3"/>
    <sheet name="Valor por Veiculo" sheetId="19" r:id="rId4"/>
    <sheet name="Base Filtrada" sheetId="18" r:id="rId5"/>
    <sheet name="Controle de Entregas" sheetId="3" r:id="rId6"/>
  </sheets>
  <definedNames>
    <definedName name="_xlnm._FilterDatabase" localSheetId="5" hidden="1">'Controle de Entregas'!$A$1:$M$31</definedName>
    <definedName name="_xlnm.Extract" localSheetId="4">'Base Filtrada'!$A$5:$M$5</definedName>
    <definedName name="BaseFiltrada">'Base Filtrada'!$A$5:$M$100</definedName>
    <definedName name="_xlnm.Criteria" localSheetId="4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25725"/>
  <pivotCaches>
    <pivotCache cacheId="0" r:id="rId7"/>
    <pivotCache cacheId="22" r:id="rId8"/>
  </pivotCaches>
  <extLst xmlns:x15="http://schemas.microsoft.com/office/spreadsheetml/2010/11/main"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uri="{D0CA8CA8-9F24-4464-BF8E-62219DCF47F9}">
      <x15:timelineCacheRefs>
        <x15:timelineCacheRef r:id="rId10"/>
      </x15:timelineCacheRefs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/>
  <c r="BB16" i="15"/>
  <c r="BB10"/>
  <c r="AJ16"/>
  <c r="AJ10"/>
  <c r="BB4"/>
  <c r="AA10"/>
  <c r="AS4"/>
  <c r="AS10"/>
  <c r="AJ4"/>
  <c r="AA4"/>
  <c r="AS16" l="1"/>
  <c r="AA16"/>
  <c r="R16"/>
  <c r="R10"/>
  <c r="I10"/>
  <c r="I4"/>
  <c r="R4"/>
  <c r="I16" l="1"/>
  <c r="B2" s="1"/>
</calcChain>
</file>

<file path=xl/sharedStrings.xml><?xml version="1.0" encoding="utf-8"?>
<sst xmlns="http://schemas.openxmlformats.org/spreadsheetml/2006/main" count="352" uniqueCount="61">
  <si>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</si>
  <si>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</si>
  <si>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</si>
  <si>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</si>
  <si>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</si>
  <si>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</si>
  <si>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</si>
  <si>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</si>
  <si>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</si>
  <si>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</si>
  <si>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</si>
  <si>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</si>
  <si>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</si>
  <si>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</si>
  <si>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</si>
  <si>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</si>
  <si>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</si>
  <si>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</si>
  <si>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</si>
  <si>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</si>
  <si>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</si>
  <si>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</si>
  <si>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</si>
  <si>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</si>
  <si>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</si>
  <si>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</si>
  <si>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</si>
  <si>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</si>
  <si>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</si>
  <si>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</si>
  <si>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</si>
  <si>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</si>
  <si>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</si>
  <si>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</si>
  <si>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</si>
  <si>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</si>
  <si>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</si>
  <si>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</si>
  <si>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</si>
  <si>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</si>
  <si>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</si>
  <si>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</si>
  <si>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</si>
  <si>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</si>
  <si>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</si>
  <si>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</si>
  <si>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</si>
  <si>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</si>
  <si>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</si>
  <si>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</si>
  <si>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</si>
  <si>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</si>
  <si>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</si>
  <si>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</si>
  <si>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</si>
  <si>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</si>
  <si>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</si>
  <si>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insumos</t>
  </si>
  <si>
    <t>(vazio)</t>
  </si>
  <si>
    <t>Total geral</t>
  </si>
  <si>
    <t>Contar de Valor do Contrato</t>
  </si>
</sst>
</file>

<file path=xl/styles.xml><?xml version="1.0" encoding="utf-8"?>
<styleSheet xmlns="http://schemas.openxmlformats.org/spreadsheetml/2006/main">
  <numFmts count="1">
    <numFmt numFmtId="44" formatCode="_-&quot;R$&quot;\ * #,##0.00_-;\-&quot;R$&quot;\ * #,##0.00_-;_-&quot;R$&quot;\ * &quot;-&quot;??_-;_-@_-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textRotation="90"/>
    </xf>
    <xf numFmtId="0" fontId="6" fillId="3" borderId="2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Moeda" xfId="1" builtinId="4"/>
    <cellStyle name="Normal" xfId="0" builtinId="0"/>
  </cellStyles>
  <dxfs count="3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[Fabiane Tami Chimenes - Automatizado com Macro.xlsm]Tabelas Dinamicas!Tabela dinâmica4</c:name>
    <c:fmtId val="4"/>
  </c:pivotSource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ivotFmts>
      <c:pivotFmt>
        <c:idx val="0"/>
        <c:dLbl>
          <c:idx val="0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extLst xmlns:c16r2="http://schemas.microsoft.com/office/drawing/2015/06/chart"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Percent val="1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Percent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[Fabiane Tami Chimenes - Automatizado com Macro.xlsm]Tabelas Dinamicas!Tabela dinâmica6</c:name>
    <c:fmtId val="5"/>
  </c:pivotSource>
  <c:chart>
    <c:autoTitleDeleted val="1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6E-3"/>
              <c:y val="-3.7243947858473146E-2"/>
            </c:manualLayout>
          </c:layout>
          <c:showVal val="1"/>
          <c:extLst xmlns:c16r2="http://schemas.microsoft.com/office/drawing/2015/06/chart">
            <c:ext xmlns:c15="http://schemas.microsoft.com/office/drawing/2012/chart" uri="{CE6537A1-D6FC-4f65-9D91-7224C49458BB}"/>
            <c:ext xmlns:c16="http://schemas.microsoft.com/office/drawing/2014/chart" uri="{C3380CC4-5D6E-409C-BE32-E72D297353CC}">
              <c16:uniqueId val="{00000003-6898-473B-BB6A-ADA4401D6186}"/>
            </c:ext>
          </c:extLst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showVal val="1"/>
        </c:dLbls>
        <c:gapWidth val="269"/>
        <c:axId val="138194304"/>
        <c:axId val="138200192"/>
      </c:barChart>
      <c:lineChart>
        <c:grouping val="standard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6E-3"/>
                  <c:y val="-3.7243947858473146E-2"/>
                </c:manualLayout>
              </c:layout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Val val="1"/>
        </c:dLbls>
        <c:marker val="1"/>
        <c:axId val="138089216"/>
        <c:axId val="138202112"/>
      </c:lineChart>
      <c:catAx>
        <c:axId val="138194304"/>
        <c:scaling>
          <c:orientation val="minMax"/>
        </c:scaling>
        <c:axPos val="b"/>
        <c:numFmt formatCode="General" sourceLinked="1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200192"/>
        <c:crosses val="autoZero"/>
        <c:auto val="1"/>
        <c:lblAlgn val="ctr"/>
        <c:lblOffset val="100"/>
      </c:catAx>
      <c:valAx>
        <c:axId val="1382001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194304"/>
        <c:crosses val="autoZero"/>
        <c:crossBetween val="between"/>
      </c:valAx>
      <c:valAx>
        <c:axId val="138202112"/>
        <c:scaling>
          <c:orientation val="minMax"/>
        </c:scaling>
        <c:axPos val="r"/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089216"/>
        <c:crosses val="max"/>
        <c:crossBetween val="between"/>
      </c:valAx>
      <c:catAx>
        <c:axId val="138089216"/>
        <c:scaling>
          <c:orientation val="minMax"/>
        </c:scaling>
        <c:delete val="1"/>
        <c:axPos val="b"/>
        <c:numFmt formatCode="General" sourceLinked="1"/>
        <c:tickLblPos val="none"/>
        <c:crossAx val="138202112"/>
        <c:crosses val="autoZero"/>
        <c:auto val="1"/>
        <c:lblAlgn val="ctr"/>
        <c:lblOffset val="100"/>
      </c:cat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[Fabiane Tami Chimenes - Automatizado com Macro.xlsm]Tabelas Dinamicas!Tabela dinâmica4</c:name>
    <c:fmtId val="16"/>
  </c:pivotSource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ivotFmts>
      <c:pivotFmt>
        <c:idx val="0"/>
        <c:dLbl>
          <c:idx val="0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extLst xmlns:c16r2="http://schemas.microsoft.com/office/drawing/2015/06/chart"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Percent val="1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Percent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[Fabiane Tami Chimenes - Automatizado com Macro.xlsm]Tabelas Dinamicas!Tabela dinâmica6</c:name>
    <c:fmtId val="17"/>
  </c:pivotSource>
  <c:chart>
    <c:autoTitleDeleted val="1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6E-3"/>
              <c:y val="-3.7243947858473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6E-3"/>
              <c:y val="-3.7243947858473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6E-3"/>
              <c:y val="-3.7243947858473146E-2"/>
            </c:manualLayout>
          </c:layout>
          <c:showVal val="1"/>
          <c:extLst xmlns:c16r2="http://schemas.microsoft.com/office/drawing/2015/06/chart">
            <c:ext xmlns:c15="http://schemas.microsoft.com/office/drawing/2012/chart" uri="{CE6537A1-D6FC-4f65-9D91-7224C49458BB}"/>
            <c:ext xmlns:c16="http://schemas.microsoft.com/office/drawing/2014/chart" uri="{C3380CC4-5D6E-409C-BE32-E72D297353CC}">
              <c16:uniqueId val="{00000002-A697-4196-86A9-2787D05C27E6}"/>
            </c:ext>
          </c:extLst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showVal val="1"/>
        </c:dLbls>
        <c:gapWidth val="269"/>
        <c:axId val="138289920"/>
        <c:axId val="138291456"/>
      </c:barChart>
      <c:lineChart>
        <c:grouping val="standard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extLst xmlns:c16r2="http://schemas.microsoft.com/office/drawing/2015/06/chart"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6E-3"/>
                  <c:y val="-3.7243947858473146E-2"/>
                </c:manualLayout>
              </c:layout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Val val="1"/>
        </c:dLbls>
        <c:marker val="1"/>
        <c:axId val="138307456"/>
        <c:axId val="138305920"/>
      </c:lineChart>
      <c:catAx>
        <c:axId val="138289920"/>
        <c:scaling>
          <c:orientation val="minMax"/>
        </c:scaling>
        <c:axPos val="b"/>
        <c:numFmt formatCode="General" sourceLinked="1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291456"/>
        <c:crosses val="autoZero"/>
        <c:auto val="1"/>
        <c:lblAlgn val="ctr"/>
        <c:lblOffset val="100"/>
      </c:catAx>
      <c:valAx>
        <c:axId val="13829145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289920"/>
        <c:crosses val="autoZero"/>
        <c:crossBetween val="between"/>
      </c:valAx>
      <c:valAx>
        <c:axId val="138305920"/>
        <c:scaling>
          <c:orientation val="minMax"/>
        </c:scaling>
        <c:axPos val="r"/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307456"/>
        <c:crosses val="max"/>
        <c:crossBetween val="between"/>
      </c:valAx>
      <c:catAx>
        <c:axId val="138307456"/>
        <c:scaling>
          <c:orientation val="minMax"/>
        </c:scaling>
        <c:delete val="1"/>
        <c:axPos val="b"/>
        <c:numFmt formatCode="General" sourceLinked="1"/>
        <c:tickLblPos val="none"/>
        <c:crossAx val="138305920"/>
        <c:crosses val="autoZero"/>
        <c:auto val="1"/>
        <c:lblAlgn val="ctr"/>
        <c:lblOffset val="100"/>
      </c:cat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[Fabiane Tami Chimenes - Automatizado com Macro.xlsm]Tabelas Dinamicas!Tabela dinâmica4</c:name>
    <c:fmtId val="18"/>
  </c:pivotSource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ivotFmts>
      <c:pivotFmt>
        <c:idx val="0"/>
        <c:dLbl>
          <c:idx val="0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Percent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extLst xmlns:c16r2="http://schemas.microsoft.com/office/drawing/2015/06/chart"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Percent val="1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Percent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[Fabiane Tami Chimenes - Automatizado com Macro.xlsm]Tabelas Dinamicas!Tabela dinâmica6</c:name>
    <c:fmtId val="19"/>
  </c:pivotSource>
  <c:chart>
    <c:autoTitleDeleted val="1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6E-3"/>
              <c:y val="-3.7243947858473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6E-3"/>
              <c:y val="-3.7243947858473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6E-3"/>
              <c:y val="-3.7243947858473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6E-3"/>
              <c:y val="-3.724394785847314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6E-3"/>
              <c:y val="-3.7243947858473146E-2"/>
            </c:manualLayout>
          </c:layout>
          <c:showVal val="1"/>
          <c:extLst xmlns:c16r2="http://schemas.microsoft.com/office/drawing/2015/06/chart">
            <c:ext xmlns:c15="http://schemas.microsoft.com/office/drawing/2012/chart" uri="{CE6537A1-D6FC-4f65-9D91-7224C49458BB}"/>
            <c:ext xmlns:c16="http://schemas.microsoft.com/office/drawing/2014/chart" uri="{C3380CC4-5D6E-409C-BE32-E72D297353CC}">
              <c16:uniqueId val="{00000002-D25D-4EA0-988C-73A4893D581A}"/>
            </c:ext>
          </c:extLst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showVal val="1"/>
        </c:dLbls>
        <c:gapWidth val="269"/>
        <c:axId val="138584448"/>
        <c:axId val="138585984"/>
      </c:barChart>
      <c:lineChart>
        <c:grouping val="standard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extLst xmlns:c16r2="http://schemas.microsoft.com/office/drawing/2015/06/chart"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6E-3"/>
                  <c:y val="-3.7243947858473146E-2"/>
                </c:manualLayout>
              </c:layout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Val val="1"/>
        </c:dLbls>
        <c:marker val="1"/>
        <c:axId val="138589696"/>
        <c:axId val="138588160"/>
      </c:lineChart>
      <c:catAx>
        <c:axId val="138584448"/>
        <c:scaling>
          <c:orientation val="minMax"/>
        </c:scaling>
        <c:axPos val="b"/>
        <c:numFmt formatCode="General" sourceLinked="1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585984"/>
        <c:crosses val="autoZero"/>
        <c:auto val="1"/>
        <c:lblAlgn val="ctr"/>
        <c:lblOffset val="100"/>
      </c:catAx>
      <c:valAx>
        <c:axId val="1385859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layout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584448"/>
        <c:crosses val="autoZero"/>
        <c:crossBetween val="between"/>
      </c:valAx>
      <c:valAx>
        <c:axId val="138588160"/>
        <c:scaling>
          <c:orientation val="minMax"/>
        </c:scaling>
        <c:axPos val="r"/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589696"/>
        <c:crosses val="max"/>
        <c:crossBetween val="between"/>
      </c:valAx>
      <c:catAx>
        <c:axId val="138589696"/>
        <c:scaling>
          <c:orientation val="minMax"/>
        </c:scaling>
        <c:delete val="1"/>
        <c:axPos val="b"/>
        <c:numFmt formatCode="General" sourceLinked="1"/>
        <c:tickLblPos val="none"/>
        <c:crossAx val="138588160"/>
        <c:crosses val="autoZero"/>
        <c:auto val="1"/>
        <c:lblAlgn val="ctr"/>
        <c:lblOffset val="100"/>
      </c:cat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52</xdr:col>
      <xdr:colOff>174625</xdr:colOff>
      <xdr:row>24</xdr:row>
      <xdr:rowOff>161924</xdr:rowOff>
    </xdr:to>
    <mc:AlternateContent xmlns:mc="http://schemas.openxmlformats.org/markup-compatibility/2006">
      <mc:Choice xmlns:tsle="http://schemas.microsoft.com/office/drawing/2012/timeslicer" xmlns=""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C2E0CBFF-84ED-4943-8735-56C7719BCB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>
        <xdr:sp macro="" textlink="">
          <xdr:nvSpPr>
            <xdr:cNvPr id="2" name="Retângulo 1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3" name="Gráfico 13">
          <a:extLst>
            <a:ext uri="{FF2B5EF4-FFF2-40B4-BE49-F238E27FC236}">
              <a16:creationId xmlns:a16="http://schemas.microsoft.com/office/drawing/2014/main" xmlns="" id="{3A98B95D-E4DB-4188-9620-1200F6F3E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4" name="Gráfico 12">
          <a:extLst>
            <a:ext uri="{FF2B5EF4-FFF2-40B4-BE49-F238E27FC236}">
              <a16:creationId xmlns:a16="http://schemas.microsoft.com/office/drawing/2014/main" xmlns="" id="{B7FC2C23-33AD-4911-8DE4-7FAE0B601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xmlns="" id="{A83CE791-2619-4E30-B43D-AE24BA321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xmlns="" id="{706280B0-6AF0-4BDA-B71B-9AE7E1601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xmlns="" id="{E5E75ACA-86C7-4087-AA37-56C280A97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xmlns="" id="{6F7C2D31-2A4A-4772-B48B-CE3938DB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>
      <mc:Choice xmlns:a14="http://schemas.microsoft.com/office/drawing/2010/main" xmlns=""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EC25B143-4FAD-4FC3-8EB4-9E5A855691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>
        <xdr:sp macro="" textlink="">
          <xdr:nvSpPr>
            <xdr:cNvPr id="2" name="Retângulo 1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>
      <mc:Choice xmlns:tsle="http://schemas.microsoft.com/office/drawing/2012/timeslicer" xmlns=""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DB3C4667-C034-44E2-BF74-A3CD5E15EB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>
        <xdr:sp macro="" textlink="">
          <xdr:nvSpPr>
            <xdr:cNvPr id="3" name="Retângulo 2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ffice Resolve Testes" refreshedDate="43889.739431481481" createdVersion="6" refreshedVersion="6" minRefreshableVersion="3" recordCount="30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fabiane tami chimenes" refreshedDate="44270.703195601855" createdVersion="3" refreshedVersion="3" minRefreshableVersion="3" recordCount="31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19-12-12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726.32" maxValue="956.32"/>
    </cacheField>
    <cacheField name="Carga" numFmtId="0">
      <sharedItems containsBlank="1"/>
    </cacheField>
    <cacheField name="Peso (Kg)" numFmtId="0">
      <sharedItems containsString="0" containsBlank="1" containsNumber="1" containsInteger="1" minValue="23" maxValue="28"/>
    </cacheField>
    <cacheField name="Tipo de Veículo" numFmtId="0">
      <sharedItems containsBlank="1" count="2">
        <s v="Utilitário Pequeno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19-12-21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3-05T00:00:00" maxDate="2019-12-21T00:00:00"/>
    </cacheField>
    <cacheField name="Situação da Chegada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4" type="button" dataOnly="0" labelOnly="1" outline="0" axis="axisRow" fieldPosition="0"/>
    </format>
    <format dxfId="2">
      <pivotArea dataOnly="0" labelOnly="1" outline="0" fieldPosition="0">
        <references count="1">
          <reference field="4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2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7" type="button" dataOnly="0" labelOnly="1" outline="0"/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  <format dxfId="17">
      <pivotArea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7" type="button" dataOnly="0" labelOnly="1" outline="0"/>
    </format>
    <format dxfId="13">
      <pivotArea dataOnly="0" labelOnly="1" grandRow="1" outline="0" fieldPosition="0"/>
    </format>
    <format dxfId="12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Tabela dinâmica1" cacheId="2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B6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Contar de Valor do Contrato" fld="3" subtotal="count" baseField="0" baseItem="0"/>
  </dataFields>
  <pivotTableStyleInfo name="PivotStyleLight16" showRowHeaders="1" showColHeaders="1" showRowStripes="0" showColStripes="0" showLastColumn="1"/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B20"/>
  <sheetViews>
    <sheetView zoomScale="90" zoomScaleNormal="90" workbookViewId="0">
      <selection activeCell="AK1" sqref="AK1:AK20"/>
    </sheetView>
  </sheetViews>
  <sheetFormatPr defaultRowHeight="1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hidden="1" customWidth="1"/>
    <col min="27" max="27" width="25.140625" hidden="1" customWidth="1"/>
    <col min="28" max="35" width="9.140625" hidden="1" customWidth="1"/>
    <col min="36" max="36" width="25.140625" hidden="1" customWidth="1"/>
    <col min="38" max="44" width="9.140625" customWidth="1"/>
    <col min="45" max="45" width="27.5703125" customWidth="1"/>
    <col min="46" max="53" width="9.140625" customWidth="1"/>
    <col min="54" max="54" width="27.5703125" customWidth="1"/>
  </cols>
  <sheetData>
    <row r="1" spans="1:54" ht="27" thickBot="1">
      <c r="A1" s="15" t="s">
        <v>53</v>
      </c>
      <c r="B1" s="23" t="s">
        <v>46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5"/>
      <c r="S1" s="15" t="s">
        <v>54</v>
      </c>
      <c r="T1" s="34" t="s">
        <v>46</v>
      </c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6"/>
      <c r="AK1" s="15" t="s">
        <v>55</v>
      </c>
      <c r="AL1" s="34" t="s">
        <v>46</v>
      </c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6"/>
    </row>
    <row r="2" spans="1:54" ht="15" customHeight="1" thickBot="1">
      <c r="A2" s="16"/>
      <c r="B2" s="20" t="str">
        <f>IF(I16&lt;'Indicadores Base'!A2,"Média de peso abaixo do normal","")</f>
        <v/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2"/>
      <c r="S2" s="1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16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>
      <c r="A3" s="16"/>
      <c r="B3" s="26"/>
      <c r="C3" s="27"/>
      <c r="D3" s="27"/>
      <c r="E3" s="27"/>
      <c r="F3" s="27"/>
      <c r="G3" s="27"/>
      <c r="H3" s="28"/>
      <c r="I3" s="14" t="s">
        <v>45</v>
      </c>
      <c r="J3" s="26"/>
      <c r="K3" s="27"/>
      <c r="L3" s="27"/>
      <c r="M3" s="27"/>
      <c r="N3" s="27"/>
      <c r="O3" s="27"/>
      <c r="P3" s="27"/>
      <c r="Q3" s="28"/>
      <c r="R3" s="14" t="s">
        <v>49</v>
      </c>
      <c r="S3" s="16"/>
      <c r="T3" s="37"/>
      <c r="U3" s="38"/>
      <c r="V3" s="38"/>
      <c r="W3" s="38"/>
      <c r="X3" s="38"/>
      <c r="Y3" s="38"/>
      <c r="Z3" s="39"/>
      <c r="AA3" s="10" t="s">
        <v>45</v>
      </c>
      <c r="AB3" s="37"/>
      <c r="AC3" s="38"/>
      <c r="AD3" s="38"/>
      <c r="AE3" s="38"/>
      <c r="AF3" s="38"/>
      <c r="AG3" s="38"/>
      <c r="AH3" s="38"/>
      <c r="AI3" s="39"/>
      <c r="AJ3" s="10" t="s">
        <v>49</v>
      </c>
      <c r="AK3" s="16"/>
      <c r="AL3" s="37"/>
      <c r="AM3" s="38"/>
      <c r="AN3" s="38"/>
      <c r="AO3" s="38"/>
      <c r="AP3" s="38"/>
      <c r="AQ3" s="38"/>
      <c r="AR3" s="39"/>
      <c r="AS3" s="10" t="s">
        <v>45</v>
      </c>
      <c r="AT3" s="37"/>
      <c r="AU3" s="38"/>
      <c r="AV3" s="38"/>
      <c r="AW3" s="38"/>
      <c r="AX3" s="38"/>
      <c r="AY3" s="38"/>
      <c r="AZ3" s="38"/>
      <c r="BA3" s="39"/>
      <c r="BB3" s="10" t="s">
        <v>49</v>
      </c>
    </row>
    <row r="4" spans="1:54">
      <c r="A4" s="16"/>
      <c r="B4" s="26"/>
      <c r="C4" s="27"/>
      <c r="D4" s="27"/>
      <c r="E4" s="27"/>
      <c r="F4" s="27"/>
      <c r="G4" s="27"/>
      <c r="H4" s="28"/>
      <c r="I4" s="18">
        <f>GETPIVOTDATA("Soma de Peso (Kg)",'Tabelas Dinamicas'!$D$10)</f>
        <v>3043</v>
      </c>
      <c r="J4" s="26"/>
      <c r="K4" s="27"/>
      <c r="L4" s="27"/>
      <c r="M4" s="27"/>
      <c r="N4" s="27"/>
      <c r="O4" s="27"/>
      <c r="P4" s="27"/>
      <c r="Q4" s="28"/>
      <c r="R4" s="32">
        <f>GETPIVOTDATA("Valor do Contrato",'Tabelas Dinamicas'!$A$10)</f>
        <v>25657.207243807243</v>
      </c>
      <c r="S4" s="16"/>
      <c r="T4" s="26"/>
      <c r="U4" s="27"/>
      <c r="V4" s="27"/>
      <c r="W4" s="27"/>
      <c r="X4" s="27"/>
      <c r="Y4" s="27"/>
      <c r="Z4" s="28"/>
      <c r="AA4" s="18">
        <f>GETPIVOTDATA("Soma de Peso (Kg)",'Tabelas Dinamicas'!$D$10)</f>
        <v>3043</v>
      </c>
      <c r="AB4" s="26"/>
      <c r="AC4" s="27"/>
      <c r="AD4" s="27"/>
      <c r="AE4" s="27"/>
      <c r="AF4" s="27"/>
      <c r="AG4" s="27"/>
      <c r="AH4" s="27"/>
      <c r="AI4" s="28"/>
      <c r="AJ4" s="32">
        <f>GETPIVOTDATA("Valor do Contrato",'Tabelas Dinamicas'!$A$10)</f>
        <v>25657.207243807243</v>
      </c>
      <c r="AK4" s="16"/>
      <c r="AL4" s="26"/>
      <c r="AM4" s="27"/>
      <c r="AN4" s="27"/>
      <c r="AO4" s="27"/>
      <c r="AP4" s="27"/>
      <c r="AQ4" s="27"/>
      <c r="AR4" s="28"/>
      <c r="AS4" s="18">
        <f>GETPIVOTDATA("Soma de Peso (Kg)",'Tabelas Dinamicas'!$D$10)</f>
        <v>3043</v>
      </c>
      <c r="AT4" s="26"/>
      <c r="AU4" s="27"/>
      <c r="AV4" s="27"/>
      <c r="AW4" s="27"/>
      <c r="AX4" s="27"/>
      <c r="AY4" s="27"/>
      <c r="AZ4" s="27"/>
      <c r="BA4" s="28"/>
      <c r="BB4" s="32">
        <f>GETPIVOTDATA("Valor do Contrato",'Tabelas Dinamicas'!$A$10)</f>
        <v>25657.207243807243</v>
      </c>
    </row>
    <row r="5" spans="1:54">
      <c r="A5" s="16"/>
      <c r="B5" s="26"/>
      <c r="C5" s="27"/>
      <c r="D5" s="27"/>
      <c r="E5" s="27"/>
      <c r="F5" s="27"/>
      <c r="G5" s="27"/>
      <c r="H5" s="28"/>
      <c r="I5" s="18"/>
      <c r="J5" s="26"/>
      <c r="K5" s="27"/>
      <c r="L5" s="27"/>
      <c r="M5" s="27"/>
      <c r="N5" s="27"/>
      <c r="O5" s="27"/>
      <c r="P5" s="27"/>
      <c r="Q5" s="28"/>
      <c r="R5" s="32"/>
      <c r="S5" s="16"/>
      <c r="T5" s="26"/>
      <c r="U5" s="27"/>
      <c r="V5" s="27"/>
      <c r="W5" s="27"/>
      <c r="X5" s="27"/>
      <c r="Y5" s="27"/>
      <c r="Z5" s="28"/>
      <c r="AA5" s="18"/>
      <c r="AB5" s="26"/>
      <c r="AC5" s="27"/>
      <c r="AD5" s="27"/>
      <c r="AE5" s="27"/>
      <c r="AF5" s="27"/>
      <c r="AG5" s="27"/>
      <c r="AH5" s="27"/>
      <c r="AI5" s="28"/>
      <c r="AJ5" s="32"/>
      <c r="AK5" s="16"/>
      <c r="AL5" s="26"/>
      <c r="AM5" s="27"/>
      <c r="AN5" s="27"/>
      <c r="AO5" s="27"/>
      <c r="AP5" s="27"/>
      <c r="AQ5" s="27"/>
      <c r="AR5" s="28"/>
      <c r="AS5" s="18"/>
      <c r="AT5" s="26"/>
      <c r="AU5" s="27"/>
      <c r="AV5" s="27"/>
      <c r="AW5" s="27"/>
      <c r="AX5" s="27"/>
      <c r="AY5" s="27"/>
      <c r="AZ5" s="27"/>
      <c r="BA5" s="28"/>
      <c r="BB5" s="32"/>
    </row>
    <row r="6" spans="1:54">
      <c r="A6" s="16"/>
      <c r="B6" s="26"/>
      <c r="C6" s="27"/>
      <c r="D6" s="27"/>
      <c r="E6" s="27"/>
      <c r="F6" s="27"/>
      <c r="G6" s="27"/>
      <c r="H6" s="28"/>
      <c r="I6" s="18"/>
      <c r="J6" s="26"/>
      <c r="K6" s="27"/>
      <c r="L6" s="27"/>
      <c r="M6" s="27"/>
      <c r="N6" s="27"/>
      <c r="O6" s="27"/>
      <c r="P6" s="27"/>
      <c r="Q6" s="28"/>
      <c r="R6" s="32"/>
      <c r="S6" s="16"/>
      <c r="T6" s="26"/>
      <c r="U6" s="27"/>
      <c r="V6" s="27"/>
      <c r="W6" s="27"/>
      <c r="X6" s="27"/>
      <c r="Y6" s="27"/>
      <c r="Z6" s="28"/>
      <c r="AA6" s="18"/>
      <c r="AB6" s="26"/>
      <c r="AC6" s="27"/>
      <c r="AD6" s="27"/>
      <c r="AE6" s="27"/>
      <c r="AF6" s="27"/>
      <c r="AG6" s="27"/>
      <c r="AH6" s="27"/>
      <c r="AI6" s="28"/>
      <c r="AJ6" s="32"/>
      <c r="AK6" s="16"/>
      <c r="AL6" s="26"/>
      <c r="AM6" s="27"/>
      <c r="AN6" s="27"/>
      <c r="AO6" s="27"/>
      <c r="AP6" s="27"/>
      <c r="AQ6" s="27"/>
      <c r="AR6" s="28"/>
      <c r="AS6" s="18"/>
      <c r="AT6" s="26"/>
      <c r="AU6" s="27"/>
      <c r="AV6" s="27"/>
      <c r="AW6" s="27"/>
      <c r="AX6" s="27"/>
      <c r="AY6" s="27"/>
      <c r="AZ6" s="27"/>
      <c r="BA6" s="28"/>
      <c r="BB6" s="32"/>
    </row>
    <row r="7" spans="1:54">
      <c r="A7" s="16"/>
      <c r="B7" s="26"/>
      <c r="C7" s="27"/>
      <c r="D7" s="27"/>
      <c r="E7" s="27"/>
      <c r="F7" s="27"/>
      <c r="G7" s="27"/>
      <c r="H7" s="28"/>
      <c r="I7" s="18"/>
      <c r="J7" s="26"/>
      <c r="K7" s="27"/>
      <c r="L7" s="27"/>
      <c r="M7" s="27"/>
      <c r="N7" s="27"/>
      <c r="O7" s="27"/>
      <c r="P7" s="27"/>
      <c r="Q7" s="28"/>
      <c r="R7" s="32"/>
      <c r="S7" s="16"/>
      <c r="T7" s="26"/>
      <c r="U7" s="27"/>
      <c r="V7" s="27"/>
      <c r="W7" s="27"/>
      <c r="X7" s="27"/>
      <c r="Y7" s="27"/>
      <c r="Z7" s="28"/>
      <c r="AA7" s="18"/>
      <c r="AB7" s="26"/>
      <c r="AC7" s="27"/>
      <c r="AD7" s="27"/>
      <c r="AE7" s="27"/>
      <c r="AF7" s="27"/>
      <c r="AG7" s="27"/>
      <c r="AH7" s="27"/>
      <c r="AI7" s="28"/>
      <c r="AJ7" s="32"/>
      <c r="AK7" s="16"/>
      <c r="AL7" s="26"/>
      <c r="AM7" s="27"/>
      <c r="AN7" s="27"/>
      <c r="AO7" s="27"/>
      <c r="AP7" s="27"/>
      <c r="AQ7" s="27"/>
      <c r="AR7" s="28"/>
      <c r="AS7" s="18"/>
      <c r="AT7" s="26"/>
      <c r="AU7" s="27"/>
      <c r="AV7" s="27"/>
      <c r="AW7" s="27"/>
      <c r="AX7" s="27"/>
      <c r="AY7" s="27"/>
      <c r="AZ7" s="27"/>
      <c r="BA7" s="28"/>
      <c r="BB7" s="32"/>
    </row>
    <row r="8" spans="1:54" ht="15.75" thickBot="1">
      <c r="A8" s="16"/>
      <c r="B8" s="26"/>
      <c r="C8" s="27"/>
      <c r="D8" s="27"/>
      <c r="E8" s="27"/>
      <c r="F8" s="27"/>
      <c r="G8" s="27"/>
      <c r="H8" s="28"/>
      <c r="I8" s="19"/>
      <c r="J8" s="26"/>
      <c r="K8" s="27"/>
      <c r="L8" s="27"/>
      <c r="M8" s="27"/>
      <c r="N8" s="27"/>
      <c r="O8" s="27"/>
      <c r="P8" s="27"/>
      <c r="Q8" s="28"/>
      <c r="R8" s="33"/>
      <c r="S8" s="16"/>
      <c r="T8" s="26"/>
      <c r="U8" s="27"/>
      <c r="V8" s="27"/>
      <c r="W8" s="27"/>
      <c r="X8" s="27"/>
      <c r="Y8" s="27"/>
      <c r="Z8" s="28"/>
      <c r="AA8" s="19"/>
      <c r="AB8" s="26"/>
      <c r="AC8" s="27"/>
      <c r="AD8" s="27"/>
      <c r="AE8" s="27"/>
      <c r="AF8" s="27"/>
      <c r="AG8" s="27"/>
      <c r="AH8" s="27"/>
      <c r="AI8" s="28"/>
      <c r="AJ8" s="33"/>
      <c r="AK8" s="16"/>
      <c r="AL8" s="26"/>
      <c r="AM8" s="27"/>
      <c r="AN8" s="27"/>
      <c r="AO8" s="27"/>
      <c r="AP8" s="27"/>
      <c r="AQ8" s="27"/>
      <c r="AR8" s="28"/>
      <c r="AS8" s="19"/>
      <c r="AT8" s="26"/>
      <c r="AU8" s="27"/>
      <c r="AV8" s="27"/>
      <c r="AW8" s="27"/>
      <c r="AX8" s="27"/>
      <c r="AY8" s="27"/>
      <c r="AZ8" s="27"/>
      <c r="BA8" s="28"/>
      <c r="BB8" s="33"/>
    </row>
    <row r="9" spans="1:54">
      <c r="A9" s="16"/>
      <c r="B9" s="26"/>
      <c r="C9" s="27"/>
      <c r="D9" s="27"/>
      <c r="E9" s="27"/>
      <c r="F9" s="27"/>
      <c r="G9" s="27"/>
      <c r="H9" s="28"/>
      <c r="I9" s="10" t="s">
        <v>47</v>
      </c>
      <c r="J9" s="26"/>
      <c r="K9" s="27"/>
      <c r="L9" s="27"/>
      <c r="M9" s="27"/>
      <c r="N9" s="27"/>
      <c r="O9" s="27"/>
      <c r="P9" s="27"/>
      <c r="Q9" s="28"/>
      <c r="R9" s="10" t="s">
        <v>50</v>
      </c>
      <c r="S9" s="16"/>
      <c r="T9" s="26"/>
      <c r="U9" s="27"/>
      <c r="V9" s="27"/>
      <c r="W9" s="27"/>
      <c r="X9" s="27"/>
      <c r="Y9" s="27"/>
      <c r="Z9" s="28"/>
      <c r="AA9" s="10" t="s">
        <v>47</v>
      </c>
      <c r="AB9" s="26"/>
      <c r="AC9" s="27"/>
      <c r="AD9" s="27"/>
      <c r="AE9" s="27"/>
      <c r="AF9" s="27"/>
      <c r="AG9" s="27"/>
      <c r="AH9" s="27"/>
      <c r="AI9" s="28"/>
      <c r="AJ9" s="10" t="s">
        <v>50</v>
      </c>
      <c r="AK9" s="16"/>
      <c r="AL9" s="26"/>
      <c r="AM9" s="27"/>
      <c r="AN9" s="27"/>
      <c r="AO9" s="27"/>
      <c r="AP9" s="27"/>
      <c r="AQ9" s="27"/>
      <c r="AR9" s="28"/>
      <c r="AS9" s="10" t="s">
        <v>47</v>
      </c>
      <c r="AT9" s="26"/>
      <c r="AU9" s="27"/>
      <c r="AV9" s="27"/>
      <c r="AW9" s="27"/>
      <c r="AX9" s="27"/>
      <c r="AY9" s="27"/>
      <c r="AZ9" s="27"/>
      <c r="BA9" s="28"/>
      <c r="BB9" s="10" t="s">
        <v>50</v>
      </c>
    </row>
    <row r="10" spans="1:54">
      <c r="A10" s="16"/>
      <c r="B10" s="26"/>
      <c r="C10" s="27"/>
      <c r="D10" s="27"/>
      <c r="E10" s="27"/>
      <c r="F10" s="27"/>
      <c r="G10" s="27"/>
      <c r="H10" s="28"/>
      <c r="I10" s="18">
        <f>GETPIVOTDATA("Contagem de Destino",'Tabelas Dinamicas'!$D$10)</f>
        <v>30</v>
      </c>
      <c r="J10" s="26"/>
      <c r="K10" s="27"/>
      <c r="L10" s="27"/>
      <c r="M10" s="27"/>
      <c r="N10" s="27"/>
      <c r="O10" s="27"/>
      <c r="P10" s="27"/>
      <c r="Q10" s="28"/>
      <c r="R10" s="18">
        <f>COUNTIF(SituacaoPartidas, "Em Aberto - Atrasada")</f>
        <v>10</v>
      </c>
      <c r="S10" s="16"/>
      <c r="T10" s="26"/>
      <c r="U10" s="27"/>
      <c r="V10" s="27"/>
      <c r="W10" s="27"/>
      <c r="X10" s="27"/>
      <c r="Y10" s="27"/>
      <c r="Z10" s="28"/>
      <c r="AA10" s="18">
        <f>GETPIVOTDATA("Contagem de Destino",'Tabelas Dinamicas'!$D$10)</f>
        <v>30</v>
      </c>
      <c r="AB10" s="26"/>
      <c r="AC10" s="27"/>
      <c r="AD10" s="27"/>
      <c r="AE10" s="27"/>
      <c r="AF10" s="27"/>
      <c r="AG10" s="27"/>
      <c r="AH10" s="27"/>
      <c r="AI10" s="28"/>
      <c r="AJ10" s="18">
        <f>COUNTIF(SituacaoPartidas, "Em Aberto - Atrasada")</f>
        <v>10</v>
      </c>
      <c r="AK10" s="16"/>
      <c r="AL10" s="26"/>
      <c r="AM10" s="27"/>
      <c r="AN10" s="27"/>
      <c r="AO10" s="27"/>
      <c r="AP10" s="27"/>
      <c r="AQ10" s="27"/>
      <c r="AR10" s="28"/>
      <c r="AS10" s="18">
        <f>GETPIVOTDATA("Contagem de Destino",'Tabelas Dinamicas'!$D$10)</f>
        <v>30</v>
      </c>
      <c r="AT10" s="26"/>
      <c r="AU10" s="27"/>
      <c r="AV10" s="27"/>
      <c r="AW10" s="27"/>
      <c r="AX10" s="27"/>
      <c r="AY10" s="27"/>
      <c r="AZ10" s="27"/>
      <c r="BA10" s="28"/>
      <c r="BB10" s="18">
        <f>COUNTIF(SituacaoPartidas, "Em Aberto - Atrasada")</f>
        <v>10</v>
      </c>
    </row>
    <row r="11" spans="1:54">
      <c r="A11" s="16"/>
      <c r="B11" s="26"/>
      <c r="C11" s="27"/>
      <c r="D11" s="27"/>
      <c r="E11" s="27"/>
      <c r="F11" s="27"/>
      <c r="G11" s="27"/>
      <c r="H11" s="28"/>
      <c r="I11" s="18"/>
      <c r="J11" s="26"/>
      <c r="K11" s="27"/>
      <c r="L11" s="27"/>
      <c r="M11" s="27"/>
      <c r="N11" s="27"/>
      <c r="O11" s="27"/>
      <c r="P11" s="27"/>
      <c r="Q11" s="28"/>
      <c r="R11" s="18"/>
      <c r="S11" s="16"/>
      <c r="T11" s="26"/>
      <c r="U11" s="27"/>
      <c r="V11" s="27"/>
      <c r="W11" s="27"/>
      <c r="X11" s="27"/>
      <c r="Y11" s="27"/>
      <c r="Z11" s="28"/>
      <c r="AA11" s="18"/>
      <c r="AB11" s="26"/>
      <c r="AC11" s="27"/>
      <c r="AD11" s="27"/>
      <c r="AE11" s="27"/>
      <c r="AF11" s="27"/>
      <c r="AG11" s="27"/>
      <c r="AH11" s="27"/>
      <c r="AI11" s="28"/>
      <c r="AJ11" s="18"/>
      <c r="AK11" s="16"/>
      <c r="AL11" s="26"/>
      <c r="AM11" s="27"/>
      <c r="AN11" s="27"/>
      <c r="AO11" s="27"/>
      <c r="AP11" s="27"/>
      <c r="AQ11" s="27"/>
      <c r="AR11" s="28"/>
      <c r="AS11" s="18"/>
      <c r="AT11" s="26"/>
      <c r="AU11" s="27"/>
      <c r="AV11" s="27"/>
      <c r="AW11" s="27"/>
      <c r="AX11" s="27"/>
      <c r="AY11" s="27"/>
      <c r="AZ11" s="27"/>
      <c r="BA11" s="28"/>
      <c r="BB11" s="18"/>
    </row>
    <row r="12" spans="1:54">
      <c r="A12" s="16"/>
      <c r="B12" s="26"/>
      <c r="C12" s="27"/>
      <c r="D12" s="27"/>
      <c r="E12" s="27"/>
      <c r="F12" s="27"/>
      <c r="G12" s="27"/>
      <c r="H12" s="28"/>
      <c r="I12" s="18"/>
      <c r="J12" s="26"/>
      <c r="K12" s="27"/>
      <c r="L12" s="27"/>
      <c r="M12" s="27"/>
      <c r="N12" s="27"/>
      <c r="O12" s="27"/>
      <c r="P12" s="27"/>
      <c r="Q12" s="28"/>
      <c r="R12" s="18"/>
      <c r="S12" s="16"/>
      <c r="T12" s="26"/>
      <c r="U12" s="27"/>
      <c r="V12" s="27"/>
      <c r="W12" s="27"/>
      <c r="X12" s="27"/>
      <c r="Y12" s="27"/>
      <c r="Z12" s="28"/>
      <c r="AA12" s="18"/>
      <c r="AB12" s="26"/>
      <c r="AC12" s="27"/>
      <c r="AD12" s="27"/>
      <c r="AE12" s="27"/>
      <c r="AF12" s="27"/>
      <c r="AG12" s="27"/>
      <c r="AH12" s="27"/>
      <c r="AI12" s="28"/>
      <c r="AJ12" s="18"/>
      <c r="AK12" s="16"/>
      <c r="AL12" s="26"/>
      <c r="AM12" s="27"/>
      <c r="AN12" s="27"/>
      <c r="AO12" s="27"/>
      <c r="AP12" s="27"/>
      <c r="AQ12" s="27"/>
      <c r="AR12" s="28"/>
      <c r="AS12" s="18"/>
      <c r="AT12" s="26"/>
      <c r="AU12" s="27"/>
      <c r="AV12" s="27"/>
      <c r="AW12" s="27"/>
      <c r="AX12" s="27"/>
      <c r="AY12" s="27"/>
      <c r="AZ12" s="27"/>
      <c r="BA12" s="28"/>
      <c r="BB12" s="18"/>
    </row>
    <row r="13" spans="1:54">
      <c r="A13" s="16"/>
      <c r="B13" s="26"/>
      <c r="C13" s="27"/>
      <c r="D13" s="27"/>
      <c r="E13" s="27"/>
      <c r="F13" s="27"/>
      <c r="G13" s="27"/>
      <c r="H13" s="28"/>
      <c r="I13" s="18"/>
      <c r="J13" s="26"/>
      <c r="K13" s="27"/>
      <c r="L13" s="27"/>
      <c r="M13" s="27"/>
      <c r="N13" s="27"/>
      <c r="O13" s="27"/>
      <c r="P13" s="27"/>
      <c r="Q13" s="28"/>
      <c r="R13" s="18"/>
      <c r="S13" s="16"/>
      <c r="T13" s="26"/>
      <c r="U13" s="27"/>
      <c r="V13" s="27"/>
      <c r="W13" s="27"/>
      <c r="X13" s="27"/>
      <c r="Y13" s="27"/>
      <c r="Z13" s="28"/>
      <c r="AA13" s="18"/>
      <c r="AB13" s="26"/>
      <c r="AC13" s="27"/>
      <c r="AD13" s="27"/>
      <c r="AE13" s="27"/>
      <c r="AF13" s="27"/>
      <c r="AG13" s="27"/>
      <c r="AH13" s="27"/>
      <c r="AI13" s="28"/>
      <c r="AJ13" s="18"/>
      <c r="AK13" s="16"/>
      <c r="AL13" s="26"/>
      <c r="AM13" s="27"/>
      <c r="AN13" s="27"/>
      <c r="AO13" s="27"/>
      <c r="AP13" s="27"/>
      <c r="AQ13" s="27"/>
      <c r="AR13" s="28"/>
      <c r="AS13" s="18"/>
      <c r="AT13" s="26"/>
      <c r="AU13" s="27"/>
      <c r="AV13" s="27"/>
      <c r="AW13" s="27"/>
      <c r="AX13" s="27"/>
      <c r="AY13" s="27"/>
      <c r="AZ13" s="27"/>
      <c r="BA13" s="28"/>
      <c r="BB13" s="18"/>
    </row>
    <row r="14" spans="1:54" ht="15.75" thickBot="1">
      <c r="A14" s="16"/>
      <c r="B14" s="26"/>
      <c r="C14" s="27"/>
      <c r="D14" s="27"/>
      <c r="E14" s="27"/>
      <c r="F14" s="27"/>
      <c r="G14" s="27"/>
      <c r="H14" s="28"/>
      <c r="I14" s="19"/>
      <c r="J14" s="26"/>
      <c r="K14" s="27"/>
      <c r="L14" s="27"/>
      <c r="M14" s="27"/>
      <c r="N14" s="27"/>
      <c r="O14" s="27"/>
      <c r="P14" s="27"/>
      <c r="Q14" s="28"/>
      <c r="R14" s="19"/>
      <c r="S14" s="16"/>
      <c r="T14" s="26"/>
      <c r="U14" s="27"/>
      <c r="V14" s="27"/>
      <c r="W14" s="27"/>
      <c r="X14" s="27"/>
      <c r="Y14" s="27"/>
      <c r="Z14" s="28"/>
      <c r="AA14" s="19"/>
      <c r="AB14" s="26"/>
      <c r="AC14" s="27"/>
      <c r="AD14" s="27"/>
      <c r="AE14" s="27"/>
      <c r="AF14" s="27"/>
      <c r="AG14" s="27"/>
      <c r="AH14" s="27"/>
      <c r="AI14" s="28"/>
      <c r="AJ14" s="19"/>
      <c r="AK14" s="16"/>
      <c r="AL14" s="26"/>
      <c r="AM14" s="27"/>
      <c r="AN14" s="27"/>
      <c r="AO14" s="27"/>
      <c r="AP14" s="27"/>
      <c r="AQ14" s="27"/>
      <c r="AR14" s="28"/>
      <c r="AS14" s="19"/>
      <c r="AT14" s="26"/>
      <c r="AU14" s="27"/>
      <c r="AV14" s="27"/>
      <c r="AW14" s="27"/>
      <c r="AX14" s="27"/>
      <c r="AY14" s="27"/>
      <c r="AZ14" s="27"/>
      <c r="BA14" s="28"/>
      <c r="BB14" s="19"/>
    </row>
    <row r="15" spans="1:54">
      <c r="A15" s="16"/>
      <c r="B15" s="26"/>
      <c r="C15" s="27"/>
      <c r="D15" s="27"/>
      <c r="E15" s="27"/>
      <c r="F15" s="27"/>
      <c r="G15" s="27"/>
      <c r="H15" s="28"/>
      <c r="I15" s="10" t="s">
        <v>48</v>
      </c>
      <c r="J15" s="26"/>
      <c r="K15" s="27"/>
      <c r="L15" s="27"/>
      <c r="M15" s="27"/>
      <c r="N15" s="27"/>
      <c r="O15" s="27"/>
      <c r="P15" s="27"/>
      <c r="Q15" s="28"/>
      <c r="R15" s="10" t="s">
        <v>51</v>
      </c>
      <c r="S15" s="16"/>
      <c r="T15" s="26"/>
      <c r="U15" s="27"/>
      <c r="V15" s="27"/>
      <c r="W15" s="27"/>
      <c r="X15" s="27"/>
      <c r="Y15" s="27"/>
      <c r="Z15" s="28"/>
      <c r="AA15" s="10" t="s">
        <v>48</v>
      </c>
      <c r="AB15" s="26"/>
      <c r="AC15" s="27"/>
      <c r="AD15" s="27"/>
      <c r="AE15" s="27"/>
      <c r="AF15" s="27"/>
      <c r="AG15" s="27"/>
      <c r="AH15" s="27"/>
      <c r="AI15" s="28"/>
      <c r="AJ15" s="10" t="s">
        <v>51</v>
      </c>
      <c r="AK15" s="16"/>
      <c r="AL15" s="26"/>
      <c r="AM15" s="27"/>
      <c r="AN15" s="27"/>
      <c r="AO15" s="27"/>
      <c r="AP15" s="27"/>
      <c r="AQ15" s="27"/>
      <c r="AR15" s="28"/>
      <c r="AS15" s="10" t="s">
        <v>48</v>
      </c>
      <c r="AT15" s="26"/>
      <c r="AU15" s="27"/>
      <c r="AV15" s="27"/>
      <c r="AW15" s="27"/>
      <c r="AX15" s="27"/>
      <c r="AY15" s="27"/>
      <c r="AZ15" s="27"/>
      <c r="BA15" s="28"/>
      <c r="BB15" s="10" t="s">
        <v>51</v>
      </c>
    </row>
    <row r="16" spans="1:54" ht="15" customHeight="1">
      <c r="A16" s="16"/>
      <c r="B16" s="26"/>
      <c r="C16" s="27"/>
      <c r="D16" s="27"/>
      <c r="E16" s="27"/>
      <c r="F16" s="27"/>
      <c r="G16" s="27"/>
      <c r="H16" s="28"/>
      <c r="I16" s="18">
        <f>I4/I10</f>
        <v>101.43333333333334</v>
      </c>
      <c r="J16" s="26"/>
      <c r="K16" s="27"/>
      <c r="L16" s="27"/>
      <c r="M16" s="27"/>
      <c r="N16" s="27"/>
      <c r="O16" s="27"/>
      <c r="P16" s="27"/>
      <c r="Q16" s="28"/>
      <c r="R16" s="18">
        <f>COUNTIF(SituacaoChegadas, "Em aberto*")</f>
        <v>11</v>
      </c>
      <c r="S16" s="16"/>
      <c r="T16" s="26"/>
      <c r="U16" s="27"/>
      <c r="V16" s="27"/>
      <c r="W16" s="27"/>
      <c r="X16" s="27"/>
      <c r="Y16" s="27"/>
      <c r="Z16" s="28"/>
      <c r="AA16" s="18">
        <f>AA4/AA10</f>
        <v>101.43333333333334</v>
      </c>
      <c r="AB16" s="26"/>
      <c r="AC16" s="27"/>
      <c r="AD16" s="27"/>
      <c r="AE16" s="27"/>
      <c r="AF16" s="27"/>
      <c r="AG16" s="27"/>
      <c r="AH16" s="27"/>
      <c r="AI16" s="28"/>
      <c r="AJ16" s="18">
        <f>COUNTIF(SituacaoChegadas, "Em aberto*")</f>
        <v>11</v>
      </c>
      <c r="AK16" s="16"/>
      <c r="AL16" s="26"/>
      <c r="AM16" s="27"/>
      <c r="AN16" s="27"/>
      <c r="AO16" s="27"/>
      <c r="AP16" s="27"/>
      <c r="AQ16" s="27"/>
      <c r="AR16" s="28"/>
      <c r="AS16" s="18">
        <f>AS4/AS10</f>
        <v>101.43333333333334</v>
      </c>
      <c r="AT16" s="26"/>
      <c r="AU16" s="27"/>
      <c r="AV16" s="27"/>
      <c r="AW16" s="27"/>
      <c r="AX16" s="27"/>
      <c r="AY16" s="27"/>
      <c r="AZ16" s="27"/>
      <c r="BA16" s="28"/>
      <c r="BB16" s="18">
        <f>COUNTIF(SituacaoChegadas, "Em aberto*")</f>
        <v>11</v>
      </c>
    </row>
    <row r="17" spans="1:54">
      <c r="A17" s="16"/>
      <c r="B17" s="26"/>
      <c r="C17" s="27"/>
      <c r="D17" s="27"/>
      <c r="E17" s="27"/>
      <c r="F17" s="27"/>
      <c r="G17" s="27"/>
      <c r="H17" s="28"/>
      <c r="I17" s="18"/>
      <c r="J17" s="26"/>
      <c r="K17" s="27"/>
      <c r="L17" s="27"/>
      <c r="M17" s="27"/>
      <c r="N17" s="27"/>
      <c r="O17" s="27"/>
      <c r="P17" s="27"/>
      <c r="Q17" s="28"/>
      <c r="R17" s="18"/>
      <c r="S17" s="16"/>
      <c r="T17" s="26"/>
      <c r="U17" s="27"/>
      <c r="V17" s="27"/>
      <c r="W17" s="27"/>
      <c r="X17" s="27"/>
      <c r="Y17" s="27"/>
      <c r="Z17" s="28"/>
      <c r="AA17" s="18"/>
      <c r="AB17" s="26"/>
      <c r="AC17" s="27"/>
      <c r="AD17" s="27"/>
      <c r="AE17" s="27"/>
      <c r="AF17" s="27"/>
      <c r="AG17" s="27"/>
      <c r="AH17" s="27"/>
      <c r="AI17" s="28"/>
      <c r="AJ17" s="18"/>
      <c r="AK17" s="16"/>
      <c r="AL17" s="26"/>
      <c r="AM17" s="27"/>
      <c r="AN17" s="27"/>
      <c r="AO17" s="27"/>
      <c r="AP17" s="27"/>
      <c r="AQ17" s="27"/>
      <c r="AR17" s="28"/>
      <c r="AS17" s="18"/>
      <c r="AT17" s="26"/>
      <c r="AU17" s="27"/>
      <c r="AV17" s="27"/>
      <c r="AW17" s="27"/>
      <c r="AX17" s="27"/>
      <c r="AY17" s="27"/>
      <c r="AZ17" s="27"/>
      <c r="BA17" s="28"/>
      <c r="BB17" s="18"/>
    </row>
    <row r="18" spans="1:54">
      <c r="A18" s="16"/>
      <c r="B18" s="26"/>
      <c r="C18" s="27"/>
      <c r="D18" s="27"/>
      <c r="E18" s="27"/>
      <c r="F18" s="27"/>
      <c r="G18" s="27"/>
      <c r="H18" s="28"/>
      <c r="I18" s="18"/>
      <c r="J18" s="26"/>
      <c r="K18" s="27"/>
      <c r="L18" s="27"/>
      <c r="M18" s="27"/>
      <c r="N18" s="27"/>
      <c r="O18" s="27"/>
      <c r="P18" s="27"/>
      <c r="Q18" s="28"/>
      <c r="R18" s="18"/>
      <c r="S18" s="16"/>
      <c r="T18" s="26"/>
      <c r="U18" s="27"/>
      <c r="V18" s="27"/>
      <c r="W18" s="27"/>
      <c r="X18" s="27"/>
      <c r="Y18" s="27"/>
      <c r="Z18" s="28"/>
      <c r="AA18" s="18"/>
      <c r="AB18" s="26"/>
      <c r="AC18" s="27"/>
      <c r="AD18" s="27"/>
      <c r="AE18" s="27"/>
      <c r="AF18" s="27"/>
      <c r="AG18" s="27"/>
      <c r="AH18" s="27"/>
      <c r="AI18" s="28"/>
      <c r="AJ18" s="18"/>
      <c r="AK18" s="16"/>
      <c r="AL18" s="26"/>
      <c r="AM18" s="27"/>
      <c r="AN18" s="27"/>
      <c r="AO18" s="27"/>
      <c r="AP18" s="27"/>
      <c r="AQ18" s="27"/>
      <c r="AR18" s="28"/>
      <c r="AS18" s="18"/>
      <c r="AT18" s="26"/>
      <c r="AU18" s="27"/>
      <c r="AV18" s="27"/>
      <c r="AW18" s="27"/>
      <c r="AX18" s="27"/>
      <c r="AY18" s="27"/>
      <c r="AZ18" s="27"/>
      <c r="BA18" s="28"/>
      <c r="BB18" s="18"/>
    </row>
    <row r="19" spans="1:54">
      <c r="A19" s="16"/>
      <c r="B19" s="26"/>
      <c r="C19" s="27"/>
      <c r="D19" s="27"/>
      <c r="E19" s="27"/>
      <c r="F19" s="27"/>
      <c r="G19" s="27"/>
      <c r="H19" s="28"/>
      <c r="I19" s="18"/>
      <c r="J19" s="26"/>
      <c r="K19" s="27"/>
      <c r="L19" s="27"/>
      <c r="M19" s="27"/>
      <c r="N19" s="27"/>
      <c r="O19" s="27"/>
      <c r="P19" s="27"/>
      <c r="Q19" s="28"/>
      <c r="R19" s="18"/>
      <c r="S19" s="16"/>
      <c r="T19" s="26"/>
      <c r="U19" s="27"/>
      <c r="V19" s="27"/>
      <c r="W19" s="27"/>
      <c r="X19" s="27"/>
      <c r="Y19" s="27"/>
      <c r="Z19" s="28"/>
      <c r="AA19" s="18"/>
      <c r="AB19" s="26"/>
      <c r="AC19" s="27"/>
      <c r="AD19" s="27"/>
      <c r="AE19" s="27"/>
      <c r="AF19" s="27"/>
      <c r="AG19" s="27"/>
      <c r="AH19" s="27"/>
      <c r="AI19" s="28"/>
      <c r="AJ19" s="18"/>
      <c r="AK19" s="16"/>
      <c r="AL19" s="26"/>
      <c r="AM19" s="27"/>
      <c r="AN19" s="27"/>
      <c r="AO19" s="27"/>
      <c r="AP19" s="27"/>
      <c r="AQ19" s="27"/>
      <c r="AR19" s="28"/>
      <c r="AS19" s="18"/>
      <c r="AT19" s="26"/>
      <c r="AU19" s="27"/>
      <c r="AV19" s="27"/>
      <c r="AW19" s="27"/>
      <c r="AX19" s="27"/>
      <c r="AY19" s="27"/>
      <c r="AZ19" s="27"/>
      <c r="BA19" s="28"/>
      <c r="BB19" s="18"/>
    </row>
    <row r="20" spans="1:54" ht="15.75" thickBot="1">
      <c r="A20" s="17"/>
      <c r="B20" s="29"/>
      <c r="C20" s="30"/>
      <c r="D20" s="30"/>
      <c r="E20" s="30"/>
      <c r="F20" s="30"/>
      <c r="G20" s="30"/>
      <c r="H20" s="31"/>
      <c r="I20" s="19"/>
      <c r="J20" s="29"/>
      <c r="K20" s="30"/>
      <c r="L20" s="30"/>
      <c r="M20" s="30"/>
      <c r="N20" s="30"/>
      <c r="O20" s="30"/>
      <c r="P20" s="30"/>
      <c r="Q20" s="31"/>
      <c r="R20" s="19"/>
      <c r="S20" s="17"/>
      <c r="T20" s="29"/>
      <c r="U20" s="30"/>
      <c r="V20" s="30"/>
      <c r="W20" s="30"/>
      <c r="X20" s="30"/>
      <c r="Y20" s="30"/>
      <c r="Z20" s="31"/>
      <c r="AA20" s="19"/>
      <c r="AB20" s="29"/>
      <c r="AC20" s="30"/>
      <c r="AD20" s="30"/>
      <c r="AE20" s="30"/>
      <c r="AF20" s="30"/>
      <c r="AG20" s="30"/>
      <c r="AH20" s="30"/>
      <c r="AI20" s="31"/>
      <c r="AJ20" s="19"/>
      <c r="AK20" s="17"/>
      <c r="AL20" s="29"/>
      <c r="AM20" s="30"/>
      <c r="AN20" s="30"/>
      <c r="AO20" s="30"/>
      <c r="AP20" s="30"/>
      <c r="AQ20" s="30"/>
      <c r="AR20" s="31"/>
      <c r="AS20" s="19"/>
      <c r="AT20" s="29"/>
      <c r="AU20" s="30"/>
      <c r="AV20" s="30"/>
      <c r="AW20" s="30"/>
      <c r="AX20" s="30"/>
      <c r="AY20" s="30"/>
      <c r="AZ20" s="30"/>
      <c r="BA20" s="31"/>
      <c r="BB20" s="19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3" priority="14">
      <formula>$R$10=$R$16</formula>
    </cfRule>
    <cfRule type="expression" dxfId="32" priority="15">
      <formula>$R$10&gt;=($R$16/2)</formula>
    </cfRule>
  </conditionalFormatting>
  <conditionalFormatting sqref="AJ10:AJ14">
    <cfRule type="expression" dxfId="31" priority="4">
      <formula>$R$10=$R$16</formula>
    </cfRule>
    <cfRule type="expression" dxfId="30" priority="5">
      <formula>$R$10&gt;=($R$16/2)</formula>
    </cfRule>
  </conditionalFormatting>
  <conditionalFormatting sqref="BB10:BB14">
    <cfRule type="expression" dxfId="29" priority="2">
      <formula>$R$10=$R$16</formula>
    </cfRule>
    <cfRule type="expression" dxfId="28" priority="3">
      <formula>$R$10&gt;=($R$16/2)</formula>
    </cfRule>
  </conditionalFormatting>
  <conditionalFormatting sqref="B2:R2">
    <cfRule type="containsText" dxfId="27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2"/>
  <sheetViews>
    <sheetView workbookViewId="0">
      <selection activeCell="E23" sqref="E23"/>
    </sheetView>
  </sheetViews>
  <sheetFormatPr defaultRowHeight="15"/>
  <cols>
    <col min="1" max="1" width="17.5703125" customWidth="1"/>
  </cols>
  <sheetData>
    <row r="1" spans="1:1">
      <c r="A1" t="s">
        <v>56</v>
      </c>
    </row>
    <row r="2" spans="1:1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0:J22"/>
  <sheetViews>
    <sheetView showGridLines="0" workbookViewId="0">
      <selection activeCell="D16" sqref="D16"/>
    </sheetView>
  </sheetViews>
  <sheetFormatPr defaultRowHeight="1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>
      <c r="A20"/>
      <c r="B20"/>
      <c r="D20"/>
      <c r="E20"/>
      <c r="F20"/>
      <c r="G20"/>
      <c r="H20"/>
    </row>
    <row r="21" spans="1:8">
      <c r="D21"/>
      <c r="E21"/>
      <c r="F21"/>
      <c r="G21"/>
      <c r="H21"/>
    </row>
    <row r="22" spans="1:8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3:B6"/>
  <sheetViews>
    <sheetView workbookViewId="0">
      <selection activeCell="B4" sqref="B4"/>
    </sheetView>
  </sheetViews>
  <sheetFormatPr defaultRowHeight="15"/>
  <cols>
    <col min="1" max="1" width="18" customWidth="1"/>
    <col min="2" max="2" width="26.140625" bestFit="1" customWidth="1"/>
  </cols>
  <sheetData>
    <row r="3" spans="1:2">
      <c r="A3" s="41" t="s">
        <v>40</v>
      </c>
      <c r="B3" t="s">
        <v>60</v>
      </c>
    </row>
    <row r="4" spans="1:2">
      <c r="A4" s="42" t="s">
        <v>22</v>
      </c>
      <c r="B4" s="43">
        <v>3</v>
      </c>
    </row>
    <row r="5" spans="1:2">
      <c r="A5" s="42" t="s">
        <v>58</v>
      </c>
      <c r="B5" s="43"/>
    </row>
    <row r="6" spans="1:2">
      <c r="A6" s="42" t="s">
        <v>59</v>
      </c>
      <c r="B6" s="43">
        <v>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M35"/>
  <sheetViews>
    <sheetView tabSelected="1" workbookViewId="0">
      <selection activeCell="G14" sqref="G14"/>
    </sheetView>
  </sheetViews>
  <sheetFormatPr defaultColWidth="16.7109375" defaultRowHeight="15"/>
  <sheetData>
    <row r="1" spans="1:13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>
      <c r="E2" t="s">
        <v>57</v>
      </c>
    </row>
    <row r="3" spans="1:13" ht="29.25" customHeight="1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</row>
    <row r="5" spans="1:13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>
      <c r="A7" t="s">
        <v>4</v>
      </c>
      <c r="B7" s="5">
        <v>43744</v>
      </c>
      <c r="C7" t="s">
        <v>18</v>
      </c>
      <c r="D7" s="3">
        <v>726.32</v>
      </c>
      <c r="E7" t="s">
        <v>20</v>
      </c>
      <c r="F7" s="4">
        <v>23</v>
      </c>
      <c r="G7" t="s">
        <v>22</v>
      </c>
      <c r="H7" s="4" t="s">
        <v>23</v>
      </c>
      <c r="I7" s="5">
        <v>43748</v>
      </c>
      <c r="J7" s="4" t="s">
        <v>25</v>
      </c>
      <c r="K7" s="4" t="s">
        <v>27</v>
      </c>
      <c r="L7" s="5">
        <v>43748</v>
      </c>
      <c r="M7" s="4" t="s">
        <v>25</v>
      </c>
    </row>
    <row r="8" spans="1:13">
      <c r="A8" t="s">
        <v>4</v>
      </c>
      <c r="B8" s="5">
        <v>43810</v>
      </c>
      <c r="C8" t="s">
        <v>19</v>
      </c>
      <c r="D8" s="3">
        <v>956.32</v>
      </c>
      <c r="E8" t="s">
        <v>20</v>
      </c>
      <c r="F8" s="4">
        <v>28</v>
      </c>
      <c r="G8" t="s">
        <v>22</v>
      </c>
      <c r="H8" s="4" t="s">
        <v>23</v>
      </c>
      <c r="I8" s="5">
        <v>43819</v>
      </c>
      <c r="J8" s="4" t="s">
        <v>26</v>
      </c>
      <c r="K8" s="4" t="s">
        <v>27</v>
      </c>
      <c r="L8" s="5">
        <v>43819</v>
      </c>
      <c r="M8" s="4" t="s">
        <v>26</v>
      </c>
    </row>
    <row r="9" spans="1:13">
      <c r="B9" s="5"/>
      <c r="D9" s="3"/>
      <c r="F9" s="4"/>
      <c r="H9" s="4"/>
      <c r="I9" s="5"/>
      <c r="J9" s="4"/>
      <c r="K9" s="4"/>
      <c r="L9" s="5"/>
      <c r="M9" s="4"/>
    </row>
    <row r="10" spans="1:13">
      <c r="B10" s="5"/>
      <c r="D10" s="3"/>
      <c r="F10" s="4"/>
      <c r="H10" s="4"/>
      <c r="I10" s="5"/>
      <c r="J10" s="4"/>
      <c r="K10" s="4"/>
      <c r="L10" s="5"/>
      <c r="M10" s="4"/>
    </row>
    <row r="11" spans="1:13">
      <c r="B11" s="5"/>
      <c r="D11" s="3"/>
      <c r="F11" s="4"/>
      <c r="H11" s="4"/>
      <c r="I11" s="5"/>
      <c r="J11" s="4"/>
      <c r="K11" s="4"/>
      <c r="L11" s="5"/>
      <c r="M11" s="4"/>
    </row>
    <row r="12" spans="1:13">
      <c r="B12" s="5"/>
      <c r="D12" s="3"/>
      <c r="F12" s="4"/>
      <c r="H12" s="4"/>
      <c r="I12" s="5"/>
      <c r="J12" s="4"/>
      <c r="K12" s="4"/>
      <c r="L12" s="5"/>
      <c r="M12" s="4"/>
    </row>
    <row r="13" spans="1:13">
      <c r="B13" s="5"/>
      <c r="D13" s="3"/>
      <c r="F13" s="4"/>
      <c r="H13" s="4"/>
      <c r="I13" s="5"/>
      <c r="J13" s="4"/>
      <c r="K13" s="4"/>
      <c r="L13" s="5"/>
      <c r="M13" s="4"/>
    </row>
    <row r="14" spans="1:13">
      <c r="B14" s="5"/>
      <c r="D14" s="3"/>
      <c r="F14" s="4"/>
      <c r="H14" s="4"/>
      <c r="I14" s="5"/>
      <c r="J14" s="4"/>
      <c r="K14" s="4"/>
      <c r="L14" s="5"/>
      <c r="M14" s="4"/>
    </row>
    <row r="15" spans="1:13">
      <c r="B15" s="5"/>
      <c r="D15" s="3"/>
      <c r="F15" s="4"/>
      <c r="H15" s="4"/>
      <c r="I15" s="5"/>
      <c r="J15" s="4"/>
      <c r="K15" s="4"/>
      <c r="L15" s="5"/>
      <c r="M15" s="4"/>
    </row>
    <row r="16" spans="1:13">
      <c r="B16" s="5"/>
      <c r="D16" s="3"/>
      <c r="F16" s="4"/>
      <c r="H16" s="4"/>
      <c r="I16" s="5"/>
      <c r="J16" s="4"/>
      <c r="K16" s="4"/>
      <c r="L16" s="5"/>
      <c r="M16" s="4"/>
    </row>
    <row r="17" spans="2:13">
      <c r="B17" s="5"/>
      <c r="D17" s="3"/>
      <c r="F17" s="4"/>
      <c r="H17" s="4"/>
      <c r="I17" s="5"/>
      <c r="J17" s="4"/>
      <c r="K17" s="4"/>
      <c r="L17" s="5"/>
      <c r="M17" s="4"/>
    </row>
    <row r="18" spans="2:13">
      <c r="B18" s="5"/>
      <c r="D18" s="3"/>
      <c r="F18" s="4"/>
      <c r="H18" s="4"/>
      <c r="I18" s="5"/>
      <c r="J18" s="4"/>
      <c r="K18" s="4"/>
      <c r="L18" s="5"/>
      <c r="M18" s="4"/>
    </row>
    <row r="19" spans="2:13">
      <c r="B19" s="5"/>
      <c r="D19" s="3"/>
      <c r="F19" s="4"/>
      <c r="H19" s="4"/>
      <c r="I19" s="5"/>
      <c r="J19" s="4"/>
      <c r="K19" s="4"/>
      <c r="L19" s="5"/>
      <c r="M19" s="4"/>
    </row>
    <row r="20" spans="2:13">
      <c r="B20" s="5"/>
      <c r="D20" s="3"/>
      <c r="F20" s="4"/>
      <c r="H20" s="4"/>
      <c r="I20" s="5"/>
      <c r="J20" s="4"/>
      <c r="K20" s="4"/>
      <c r="L20" s="5"/>
      <c r="M20" s="4"/>
    </row>
    <row r="21" spans="2:13">
      <c r="B21" s="5"/>
      <c r="D21" s="3"/>
      <c r="F21" s="4"/>
      <c r="H21" s="4"/>
      <c r="I21" s="5"/>
      <c r="J21" s="4"/>
      <c r="K21" s="4"/>
      <c r="L21" s="5"/>
      <c r="M21" s="4"/>
    </row>
    <row r="22" spans="2:13">
      <c r="B22" s="5"/>
      <c r="D22" s="3"/>
      <c r="F22" s="4"/>
      <c r="H22" s="4"/>
      <c r="I22" s="5"/>
      <c r="J22" s="4"/>
      <c r="K22" s="4"/>
      <c r="L22" s="5"/>
      <c r="M22" s="4"/>
    </row>
    <row r="23" spans="2:13">
      <c r="B23" s="5"/>
      <c r="D23" s="3"/>
      <c r="F23" s="4"/>
      <c r="H23" s="4"/>
      <c r="I23" s="5"/>
      <c r="J23" s="4"/>
      <c r="K23" s="4"/>
      <c r="L23" s="5"/>
      <c r="M23" s="4"/>
    </row>
    <row r="24" spans="2:13">
      <c r="B24" s="5"/>
      <c r="D24" s="3"/>
      <c r="F24" s="4"/>
      <c r="H24" s="4"/>
      <c r="I24" s="5"/>
      <c r="J24" s="4"/>
      <c r="K24" s="4"/>
      <c r="L24" s="5"/>
      <c r="M24" s="4"/>
    </row>
    <row r="25" spans="2:13">
      <c r="B25" s="5"/>
      <c r="D25" s="3"/>
      <c r="F25" s="4"/>
      <c r="H25" s="4"/>
      <c r="I25" s="5"/>
      <c r="J25" s="4"/>
      <c r="K25" s="4"/>
      <c r="L25" s="5"/>
      <c r="M25" s="4"/>
    </row>
    <row r="26" spans="2:13">
      <c r="B26" s="5"/>
      <c r="D26" s="3"/>
      <c r="F26" s="4"/>
      <c r="H26" s="4"/>
      <c r="I26" s="5"/>
      <c r="J26" s="4"/>
      <c r="K26" s="4"/>
      <c r="L26" s="5"/>
      <c r="M26" s="4"/>
    </row>
    <row r="27" spans="2:13">
      <c r="B27" s="5"/>
      <c r="D27" s="3"/>
      <c r="F27" s="4"/>
      <c r="H27" s="4"/>
      <c r="I27" s="5"/>
      <c r="J27" s="4"/>
      <c r="K27" s="4"/>
      <c r="L27" s="5"/>
      <c r="M27" s="4"/>
    </row>
    <row r="28" spans="2:13">
      <c r="B28" s="5"/>
      <c r="D28" s="3"/>
      <c r="F28" s="4"/>
      <c r="H28" s="4"/>
      <c r="I28" s="5"/>
      <c r="J28" s="4"/>
      <c r="K28" s="4"/>
      <c r="L28" s="5"/>
      <c r="M28" s="4"/>
    </row>
    <row r="29" spans="2:13">
      <c r="B29" s="5"/>
      <c r="D29" s="3"/>
      <c r="F29" s="4"/>
      <c r="H29" s="4"/>
      <c r="I29" s="5"/>
      <c r="J29" s="4"/>
      <c r="K29" s="4"/>
      <c r="L29" s="5"/>
      <c r="M29" s="4"/>
    </row>
    <row r="30" spans="2:13">
      <c r="B30" s="5"/>
      <c r="D30" s="3"/>
      <c r="F30" s="4"/>
      <c r="H30" s="4"/>
      <c r="I30" s="5"/>
      <c r="J30" s="4"/>
      <c r="K30" s="4"/>
      <c r="L30" s="5"/>
      <c r="M30" s="4"/>
    </row>
    <row r="31" spans="2:13">
      <c r="B31" s="5"/>
      <c r="D31" s="3"/>
      <c r="F31" s="4"/>
      <c r="H31" s="4"/>
      <c r="I31" s="5"/>
      <c r="J31" s="4"/>
      <c r="K31" s="4"/>
      <c r="L31" s="5"/>
      <c r="M31" s="4"/>
    </row>
    <row r="32" spans="2:13">
      <c r="B32" s="5"/>
      <c r="D32" s="3"/>
      <c r="F32" s="4"/>
      <c r="H32" s="4"/>
      <c r="I32" s="5"/>
      <c r="J32" s="4"/>
      <c r="K32" s="4"/>
      <c r="L32" s="5"/>
      <c r="M32" s="4"/>
    </row>
    <row r="33" spans="2:13">
      <c r="B33" s="5"/>
      <c r="D33" s="3"/>
      <c r="F33" s="4"/>
      <c r="H33" s="4"/>
      <c r="I33" s="5"/>
      <c r="J33" s="4"/>
      <c r="K33" s="4"/>
      <c r="L33" s="5"/>
      <c r="M33" s="4"/>
    </row>
    <row r="34" spans="2:13">
      <c r="B34" s="5"/>
      <c r="D34" s="3"/>
      <c r="F34" s="4"/>
      <c r="H34" s="4"/>
      <c r="I34" s="5"/>
      <c r="J34" s="4"/>
      <c r="K34" s="4"/>
      <c r="L34" s="5"/>
      <c r="M34" s="4"/>
    </row>
    <row r="35" spans="2:13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M37"/>
  <sheetViews>
    <sheetView zoomScaleNormal="100" workbookViewId="0"/>
  </sheetViews>
  <sheetFormatPr defaultColWidth="19.7109375" defaultRowHeight="1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>
      <c r="B32" s="5"/>
    </row>
    <row r="33" spans="2:2">
      <c r="B33" s="5"/>
    </row>
    <row r="34" spans="2:2">
      <c r="B34" s="5"/>
    </row>
    <row r="35" spans="2:2">
      <c r="B35" s="5"/>
    </row>
    <row r="36" spans="2:2">
      <c r="B36" s="5"/>
    </row>
    <row r="37" spans="2:2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Valor por Veiculo</vt:lpstr>
      <vt:lpstr>Base Filtrada</vt:lpstr>
      <vt:lpstr>Controle de Entregas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fabiane tami chimenes</cp:lastModifiedBy>
  <dcterms:created xsi:type="dcterms:W3CDTF">2020-01-28T18:38:11Z</dcterms:created>
  <dcterms:modified xsi:type="dcterms:W3CDTF">2021-03-16T11:45:15Z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